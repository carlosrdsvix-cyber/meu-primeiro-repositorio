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A6FEC1B3-8803-45FF-A9FA-4BC6FFF63069}" xr6:coauthVersionLast="47" xr6:coauthVersionMax="47" xr10:uidLastSave="{00000000-0000-0000-0000-000000000000}"/>
  <bookViews>
    <workbookView xWindow="-120" yWindow="-120" windowWidth="19440" windowHeight="15000" firstSheet="5" activeTab="5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  <sheet name="Faturas" sheetId="17" r:id="rId15"/>
    <sheet name="Lancamentos_Cartao" sheetId="18" r:id="rId16"/>
    <sheet name="," sheetId="19" r:id="rId17"/>
  </sheets>
  <definedNames>
    <definedName name="AnoAnalise">Configuracoes!$B$7</definedName>
    <definedName name="AnoInicial">Configuracoes!$B$5</definedName>
    <definedName name="lstCartoes">tbCartoes[Nome_Cartao]</definedName>
    <definedName name="lstCategoriasCartao">Listas!$K$2:$K$7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esAnalise">Configuracoes!$B$6</definedName>
    <definedName name="MoedaSistema">Configuracoes!$B$4</definedName>
    <definedName name="NomeSistema">Configuracoes!$B$2</definedName>
    <definedName name="VersaoSistema">Configuracoes!$B$3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7" l="1"/>
  <c r="B6" i="1" a="1"/>
  <c r="B6" i="1" s="1"/>
  <c r="B2" i="3"/>
  <c r="A2" i="3"/>
  <c r="C2" i="3" s="1"/>
  <c r="E2" i="3" s="1"/>
  <c r="B7" i="1" s="1" a="1"/>
  <c r="B7" i="1" s="1"/>
  <c r="A3" i="1"/>
  <c r="A2" i="1"/>
  <c r="A1" i="1"/>
  <c r="B5" i="1" l="1" a="1"/>
  <c r="B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<sst xmlns="http://schemas.openxmlformats.org/spreadsheetml/2006/main" count="124" uniqueCount="83">
  <si>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</si>
  <si>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</si>
  <si>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</si>
  <si>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</si>
  <si>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</si>
  <si>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</si>
  <si>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</si>
  <si>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</si>
  <si>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</si>
  <si>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</si>
  <si>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</si>
  <si>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</si>
  <si>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</si>
  <si>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</si>
  <si>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</si>
  <si>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</si>
  <si>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</si>
  <si>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</si>
  <si>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</si>
  <si>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</si>
  <si>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</si>
  <si>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</si>
  <si>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</si>
  <si>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</si>
  <si>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</si>
  <si>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</si>
  <si>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</si>
  <si>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</si>
  <si>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</si>
  <si>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</si>
  <si>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</si>
  <si>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</si>
  <si>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</si>
  <si>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</si>
  <si>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</si>
  <si>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</si>
  <si>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</si>
  <si>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</si>
  <si>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</si>
  <si>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</si>
  <si>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</si>
  <si>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</si>
  <si>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</si>
  <si>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</si>
  <si>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</si>
  <si>
    <t>Total de Receitas</t>
  </si>
  <si>
    <t>Total de Despesas</t>
  </si>
  <si>
    <t>Saldo Atual</t>
  </si>
  <si>
    <t>Mes</t>
  </si>
  <si>
    <t>Ano</t>
  </si>
  <si>
    <t>Total_Receitas</t>
  </si>
  <si>
    <t>Total_Despesas</t>
  </si>
  <si>
    <t>Saldo</t>
  </si>
  <si>
    <t>MesAnalise</t>
  </si>
  <si>
    <t>AnoAnalise</t>
  </si>
  <si>
    <t>Nome_Cartao</t>
  </si>
  <si>
    <t>Banco</t>
  </si>
  <si>
    <t>Limite</t>
  </si>
  <si>
    <t>Dia_Fechamento</t>
  </si>
  <si>
    <t>Dia_Vencimento</t>
  </si>
  <si>
    <t>Atacadao</t>
  </si>
  <si>
    <t>Banco_Atacadao</t>
  </si>
  <si>
    <t>Inter</t>
  </si>
  <si>
    <t>Banco_Nubank</t>
  </si>
  <si>
    <t>Carrefour</t>
  </si>
  <si>
    <t>Banco_Carrefour</t>
  </si>
  <si>
    <t>Competencia</t>
  </si>
  <si>
    <t>Data_Vencimento</t>
  </si>
  <si>
    <t>Valor_Fatura</t>
  </si>
  <si>
    <t>Status_Pagamento</t>
  </si>
  <si>
    <t>Data_Compra</t>
  </si>
  <si>
    <t>Categoria</t>
  </si>
  <si>
    <t>Parcelas</t>
  </si>
  <si>
    <t>Categoria_Cartao</t>
  </si>
  <si>
    <t>Mercado</t>
  </si>
  <si>
    <t>Combustivel</t>
  </si>
  <si>
    <t>Compras</t>
  </si>
  <si>
    <t>Assinaturas</t>
  </si>
  <si>
    <t>Notebook</t>
  </si>
  <si>
    <t>Compra</t>
  </si>
  <si>
    <t>Parcela_Atual</t>
  </si>
  <si>
    <t>Total_Parcelas</t>
  </si>
  <si>
    <t>Valor_Parcela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</si>
</sst>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  <xf numFmtId="17" fontId="0" fillId="0" borderId="0" xfId="0" applyNumberFormat="1"/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0F6549-5E43-427D-967B-3F5766F66080}" name="tbResumoMensal" displayName="tbResumoMensal" ref="A1:E2" totalsRowShown="0">
  <autoFilter ref="A1:E2" xr:uid="{8A0F6549-5E43-427D-967B-3F5766F66080}"/>
  <tableColumns count="5">
    <tableColumn id="1" xr3:uid="{3AF8D024-BA06-435E-AA5D-554538ED1BB5}" name="Mes">
      <calculatedColumnFormula>MesAnalise</calculatedColumnFormula>
    </tableColumn>
    <tableColumn id="2" xr3:uid="{352D13CF-CC82-4D16-890B-7CFCBF56C180}" name="Ano">
      <calculatedColumnFormula>AnoAnalise</calculatedColumnFormula>
    </tableColumn>
    <tableColumn id="3" xr3:uid="{F285CC66-5EAA-49D5-B5B4-EB5FE193323D}" name="Total_Receitas" dataCellStyle="Moeda">
      <calculatedColumnFormula>SUMIFS(tbReceitas[Valor],tbReceitas[Data],"&gt;="&amp;DATE(B2,A2,1),tbReceitas[Data],"&lt;"&amp;DATE(B2,A2+1,1))</calculatedColumnFormula>
    </tableColumn>
    <tableColumn id="4" xr3:uid="{053912A3-621A-4F93-A624-907418D8D463}" name="Total_Despesas" dataCellStyle="Moeda"/>
    <tableColumn id="5" xr3:uid="{255444C8-9635-4814-BE21-BFC9913BD2EF}" name="Saldo" dataCellStyle="Moeda">
      <calculatedColumnFormula>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65EBCC-D5C1-48BD-B7A7-BC0389AC0DBC}" name="tbCartoes" displayName="tbCartoes" ref="A1:F5" totalsRowShown="0">
  <autoFilter ref="A1:F5" xr:uid="{8B65EBCC-D5C1-48BD-B7A7-BC0389AC0DBC}"/>
  <tableColumns count="6">
    <tableColumn id="1" xr3:uid="{7F7848B9-A0F0-4055-BB04-6D5C7EF9CBEC}" name="Nome_Cartao"/>
    <tableColumn id="2" xr3:uid="{2D95D798-8C82-4869-8800-04F0EB9593F3}" name="Banco"/>
    <tableColumn id="3" xr3:uid="{5579189E-E0FE-4458-85CD-FFE6AC91E1AF}" name="Limite" dataCellStyle="Moeda"/>
    <tableColumn id="4" xr3:uid="{4746A5F2-D538-4B68-9653-3DA7B5DB7104}" name="Dia_Fechamento"/>
    <tableColumn id="5" xr3:uid="{D9D3B0A1-24C6-4B02-97DC-553E425AC7A6}" name="Dia_Vencimento"/>
    <tableColumn id="6" xr3:uid="{2A19314A-905C-4054-ADD7-A1EBA22B061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8D0399-882A-448B-957D-AEDB0D78416D}" name="tbParcelamentos" displayName="tbParcelamentos" ref="A1:G2" totalsRowShown="0">
  <autoFilter ref="A1:G2" xr:uid="{D08D0399-882A-448B-957D-AEDB0D78416D}"/>
  <tableColumns count="7">
    <tableColumn id="1" xr3:uid="{B692F6B1-C598-4022-9E71-E0C28D5660B3}" name="Compra"/>
    <tableColumn id="2" xr3:uid="{D3B96191-9482-4F00-BAA1-1378B31F8D65}" name="Cartao"/>
    <tableColumn id="3" xr3:uid="{7BB38C14-985D-4CEA-A1ED-EF9A0E6C6243}" name="Parcela_Atual"/>
    <tableColumn id="4" xr3:uid="{26EFF008-2EE6-4390-8FF4-2DC15A60771C}" name="Total_Parcelas"/>
    <tableColumn id="5" xr3:uid="{9C04B655-8FA0-44E8-9532-A526F1A93A1A}" name="Valor_Parcela" dataCellStyle="Moeda">
      <calculatedColumnFormula>3000/10</calculatedColumnFormula>
    </tableColumn>
    <tableColumn id="6" xr3:uid="{14BFBE8A-3882-4A32-8833-7FACBD156179}" name="Competencia"/>
    <tableColumn id="7" xr3:uid="{15B21A92-783D-4790-9C59-6F554DA4A226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7" totalsRowShown="0">
  <autoFilter ref="A1:B7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76618-628E-4768-825A-99B3A899E190}" name="tbFaturas" displayName="tbFaturas" ref="A1:E2" totalsRowShown="0">
  <autoFilter ref="A1:E2" xr:uid="{83676618-628E-4768-825A-99B3A899E190}"/>
  <tableColumns count="5">
    <tableColumn id="1" xr3:uid="{0AF3881D-039C-450F-BDF3-B1AD9DA17C3C}" name="Cartao"/>
    <tableColumn id="2" xr3:uid="{FA79969F-378E-465F-9FA2-2DC15083FF25}" name="Competencia"/>
    <tableColumn id="3" xr3:uid="{635B54C2-B09C-4219-9388-98913CE16273}" name="Data_Vencimento"/>
    <tableColumn id="4" xr3:uid="{76B3FB2C-50C7-401A-8FAF-C0A994F26EE4}" name="Valor_Fatura" dataCellStyle="Moeda"/>
    <tableColumn id="5" xr3:uid="{C333E680-2E35-4A3C-B283-898308283221}" name="Status_Paga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108D5BF-5273-4DD3-BF34-DAF15B1BC9CB}" name="tbLancamentosCartao" displayName="tbLancamentosCartao" ref="A1:G3" totalsRowShown="0">
  <autoFilter ref="A1:G3" xr:uid="{D108D5BF-5273-4DD3-BF34-DAF15B1BC9CB}"/>
  <tableColumns count="7">
    <tableColumn id="1" xr3:uid="{300FC87F-80AC-4FA7-891F-5E3FA9A6FB00}" name="Data_Compra"/>
    <tableColumn id="2" xr3:uid="{0F3868B5-5AE6-43F4-842F-B4A60C339036}" name="Cartao"/>
    <tableColumn id="3" xr3:uid="{80D163FC-B750-4A49-BAD3-68C117C26A17}" name="Descricao"/>
    <tableColumn id="4" xr3:uid="{92513AD5-BC98-4567-AFF0-8B2687B3D2E2}" name="Categoria"/>
    <tableColumn id="5" xr3:uid="{844181EA-79A8-48F8-96D5-20F9841C58E9}" name="Valor" dataCellStyle="Moeda"/>
    <tableColumn id="6" xr3:uid="{066B3341-D551-44B2-9386-B136526CD890}" name="Parcelas"/>
    <tableColumn id="7" xr3:uid="{1D83AF99-FD53-47A8-932E-8B680DB6B858}" name="Compet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G14" sqref="G14"/>
    </sheetView>
  </sheetViews>
  <sheetFormatPr defaultRowHeight="15" x14ac:dyDescent="0.25"/>
  <cols>
    <col min="1" max="1" width="25.7109375" customWidth="1"/>
    <col min="2" max="2" width="12.140625" bestFit="1" customWidth="1"/>
  </cols>
  <sheetData>
    <row r="1" spans="1:2" x14ac:dyDescent="0.25">
      <c r="A1" s="1" t="str">
        <f>NomeSistema</f>
        <v>Sistema Financeiro Carlos</v>
      </c>
    </row>
    <row r="2" spans="1:2" x14ac:dyDescent="0.25">
      <c r="A2" s="1" t="str">
        <f>"Versão "&amp;VersaoSistema</f>
        <v>Versão 1.0</v>
      </c>
    </row>
    <row r="3" spans="1:2" x14ac:dyDescent="0.25">
      <c r="A3" s="1" t="str">
        <f>"Ano de referência: "&amp;AnoInicial</f>
        <v>Ano de referência: 2026</v>
      </c>
    </row>
    <row r="5" spans="1:2" x14ac:dyDescent="0.25">
      <c r="A5" t="s">
        <v>45</v>
      </c>
      <c r="B5" s="3" cm="1">
        <f t="array" ref="B5">tbResumoMensal[Total_Receitas]</f>
        <v>2700</v>
      </c>
    </row>
    <row r="6" spans="1:2" x14ac:dyDescent="0.25">
      <c r="A6" t="s">
        <v>46</v>
      </c>
      <c r="B6" s="3" cm="1">
        <f t="array" ref="B6">tbResumoMensal[Total_Despesas]</f>
        <v>50</v>
      </c>
    </row>
    <row r="7" spans="1:2" x14ac:dyDescent="0.25">
      <c r="A7" t="s">
        <v>47</v>
      </c>
      <c r="B7" s="3" cm="1">
        <f t="array" ref="B7">tbResumoMensal[Saldo]</f>
        <v>2650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:E2"/>
  <sheetViews>
    <sheetView workbookViewId="0">
      <selection activeCell="B2" sqref="B2"/>
    </sheetView>
  </sheetViews>
  <sheetFormatPr defaultRowHeight="15" x14ac:dyDescent="0.25"/>
  <cols>
    <col min="1" max="1" width="7" customWidth="1"/>
    <col min="2" max="2" width="6.7109375" customWidth="1"/>
    <col min="3" max="3" width="16" customWidth="1"/>
    <col min="4" max="4" width="16.85546875" customWidth="1"/>
    <col min="5" max="5" width="12.140625" bestFit="1" customWidth="1"/>
  </cols>
  <sheetData>
    <row r="1" spans="1:5" x14ac:dyDescent="0.25">
      <c r="A1" t="s">
        <v>48</v>
      </c>
      <c r="B1" t="s">
        <v>49</v>
      </c>
      <c r="C1" t="s">
        <v>50</v>
      </c>
      <c r="D1" t="s">
        <v>51</v>
      </c>
      <c r="E1" t="s">
        <v>52</v>
      </c>
    </row>
    <row r="2" spans="1:5" x14ac:dyDescent="0.25">
      <c r="A2">
        <f>MesAnalise</f>
        <v>7</v>
      </c>
      <c r="B2">
        <f>AnoAnalise</f>
        <v>2026</v>
      </c>
      <c r="C2" s="3">
        <f>SUMIFS(tbReceitas[Valor],tbReceitas[Data],"&gt;="&amp;DATE(B2,A2,1),tbReceitas[Data],"&lt;"&amp;DATE(B2,A2+1,1))</f>
        <v>2700</v>
      </c>
      <c r="D2" s="3">
        <v>50</v>
      </c>
      <c r="E2" s="3">
        <f>C2-D2</f>
        <v>2650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:F5"/>
  <sheetViews>
    <sheetView zoomScale="90" zoomScaleNormal="90" workbookViewId="0">
      <selection activeCell="C22" sqref="C22"/>
    </sheetView>
  </sheetViews>
  <sheetFormatPr defaultRowHeight="15" x14ac:dyDescent="0.25"/>
  <cols>
    <col min="1" max="1" width="15.28515625" customWidth="1"/>
    <col min="3" max="3" width="13.85546875" style="3" bestFit="1" customWidth="1"/>
    <col min="4" max="4" width="18" customWidth="1"/>
    <col min="5" max="5" width="17.85546875" customWidth="1"/>
  </cols>
  <sheetData>
    <row r="1" spans="1:6" x14ac:dyDescent="0.25">
      <c r="A1" t="s">
        <v>55</v>
      </c>
      <c r="B1" t="s">
        <v>56</v>
      </c>
      <c r="C1" s="3" t="s">
        <v>57</v>
      </c>
      <c r="D1" t="s">
        <v>58</v>
      </c>
      <c r="E1" t="s">
        <v>59</v>
      </c>
      <c r="F1" t="s">
        <v>21</v>
      </c>
    </row>
    <row r="2" spans="1:6" x14ac:dyDescent="0.25">
      <c r="A2" t="s">
        <v>60</v>
      </c>
      <c r="B2" t="s">
        <v>61</v>
      </c>
      <c r="C2" s="3">
        <v>5500</v>
      </c>
      <c r="D2">
        <v>1</v>
      </c>
      <c r="E2">
        <v>9</v>
      </c>
      <c r="F2" t="s">
        <v>24</v>
      </c>
    </row>
    <row r="3" spans="1:6" x14ac:dyDescent="0.25">
      <c r="A3" t="s">
        <v>62</v>
      </c>
      <c r="B3" t="s">
        <v>20</v>
      </c>
      <c r="C3" s="3">
        <v>19530</v>
      </c>
      <c r="D3">
        <v>4</v>
      </c>
      <c r="E3">
        <v>9</v>
      </c>
      <c r="F3" t="s">
        <v>24</v>
      </c>
    </row>
    <row r="4" spans="1:6" x14ac:dyDescent="0.25">
      <c r="A4" t="s">
        <v>19</v>
      </c>
      <c r="B4" t="s">
        <v>63</v>
      </c>
      <c r="C4" s="3">
        <v>3000</v>
      </c>
      <c r="D4">
        <v>4</v>
      </c>
      <c r="E4">
        <v>9</v>
      </c>
      <c r="F4" t="s">
        <v>24</v>
      </c>
    </row>
    <row r="5" spans="1:6" x14ac:dyDescent="0.25">
      <c r="A5" t="s">
        <v>64</v>
      </c>
      <c r="B5" t="s">
        <v>65</v>
      </c>
      <c r="C5" s="3">
        <v>2500</v>
      </c>
      <c r="D5">
        <v>1</v>
      </c>
      <c r="E5">
        <v>9</v>
      </c>
      <c r="F5" t="s">
        <v>24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:G2"/>
  <sheetViews>
    <sheetView tabSelected="1" workbookViewId="0">
      <selection activeCell="E2" sqref="E2"/>
    </sheetView>
  </sheetViews>
  <sheetFormatPr defaultRowHeight="15" x14ac:dyDescent="0.25"/>
  <cols>
    <col min="1" max="1" width="10" customWidth="1"/>
    <col min="3" max="3" width="15.28515625" customWidth="1"/>
    <col min="4" max="4" width="15.85546875" customWidth="1"/>
    <col min="5" max="5" width="15.28515625" customWidth="1"/>
    <col min="6" max="6" width="14.85546875" customWidth="1"/>
  </cols>
  <sheetData>
    <row r="1" spans="1:7" x14ac:dyDescent="0.25">
      <c r="A1" t="s">
        <v>79</v>
      </c>
      <c r="B1" t="s">
        <v>15</v>
      </c>
      <c r="C1" t="s">
        <v>80</v>
      </c>
      <c r="D1" t="s">
        <v>81</v>
      </c>
      <c r="E1" t="s">
        <v>82</v>
      </c>
      <c r="F1" t="s">
        <v>66</v>
      </c>
      <c r="G1" t="s">
        <v>21</v>
      </c>
    </row>
    <row r="2" spans="1:7" x14ac:dyDescent="0.25">
      <c r="A2" t="s">
        <v>78</v>
      </c>
      <c r="B2" t="s">
        <v>62</v>
      </c>
      <c r="C2">
        <v>1</v>
      </c>
      <c r="D2">
        <v>10</v>
      </c>
      <c r="E2" s="3">
        <f>3000/10</f>
        <v>300</v>
      </c>
      <c r="F2" s="5">
        <v>46204</v>
      </c>
      <c r="G2" t="s">
        <v>23</v>
      </c>
    </row>
  </sheetData>
  <dataValidations count="1">
    <dataValidation type="list" allowBlank="1" showInputMessage="1" showErrorMessage="1" sqref="G2" xr:uid="{D48BF84F-49C1-4D0D-B21F-17B1E9CC45C8}">
      <formula1>lstStatus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K8"/>
  <sheetViews>
    <sheetView zoomScale="90" zoomScaleNormal="90" workbookViewId="0">
      <selection activeCell="K15" sqref="K15"/>
    </sheetView>
  </sheetViews>
  <sheetFormatPr defaultRowHeight="15" x14ac:dyDescent="0.25"/>
  <cols>
    <col min="1" max="1" width="18.7109375" customWidth="1"/>
    <col min="2" max="2" width="7" customWidth="1"/>
    <col min="3" max="3" width="18.7109375" customWidth="1"/>
    <col min="4" max="4" width="7" customWidth="1"/>
    <col min="5" max="5" width="18.7109375" customWidth="1"/>
    <col min="6" max="6" width="7.7109375" customWidth="1"/>
    <col min="7" max="7" width="18.7109375" customWidth="1"/>
    <col min="8" max="8" width="7.85546875" customWidth="1"/>
    <col min="9" max="9" width="18.7109375" customWidth="1"/>
    <col min="11" max="11" width="18.7109375" customWidth="1"/>
  </cols>
  <sheetData>
    <row r="1" spans="1:11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  <c r="K1" s="1" t="s">
        <v>73</v>
      </c>
    </row>
    <row r="2" spans="1:11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  <c r="K2" t="s">
        <v>7</v>
      </c>
    </row>
    <row r="3" spans="1:11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  <c r="K3" t="s">
        <v>74</v>
      </c>
    </row>
    <row r="4" spans="1:11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  <c r="K4" t="s">
        <v>75</v>
      </c>
    </row>
    <row r="5" spans="1:11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  <c r="K5" t="s">
        <v>76</v>
      </c>
    </row>
    <row r="6" spans="1:11" x14ac:dyDescent="0.25">
      <c r="C6" t="s">
        <v>10</v>
      </c>
      <c r="E6" t="s">
        <v>17</v>
      </c>
      <c r="K6" t="s">
        <v>77</v>
      </c>
    </row>
    <row r="7" spans="1:11" x14ac:dyDescent="0.25">
      <c r="C7" t="s">
        <v>11</v>
      </c>
      <c r="K7" t="s">
        <v>4</v>
      </c>
    </row>
    <row r="8" spans="1:11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7"/>
  <sheetViews>
    <sheetView workbookViewId="0">
      <selection activeCell="B6" sqref="B6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  <row r="6" spans="1:2" x14ac:dyDescent="0.25">
      <c r="A6" t="s">
        <v>53</v>
      </c>
      <c r="B6" s="4">
        <v>7</v>
      </c>
    </row>
    <row r="7" spans="1:2" x14ac:dyDescent="0.25">
      <c r="A7" t="s">
        <v>54</v>
      </c>
      <c r="B7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6950-DF9E-449A-BF3E-C4B1FEB22D19}">
  <dimension ref="A1:E2"/>
  <sheetViews>
    <sheetView workbookViewId="0">
      <selection activeCell="C2" sqref="C2"/>
    </sheetView>
  </sheetViews>
  <sheetFormatPr defaultRowHeight="15" x14ac:dyDescent="0.25"/>
  <cols>
    <col min="2" max="2" width="14.85546875" customWidth="1"/>
    <col min="3" max="3" width="19" customWidth="1"/>
    <col min="4" max="4" width="14.42578125" customWidth="1"/>
    <col min="5" max="5" width="19.5703125" customWidth="1"/>
  </cols>
  <sheetData>
    <row r="1" spans="1:5" x14ac:dyDescent="0.25">
      <c r="A1" t="s">
        <v>15</v>
      </c>
      <c r="B1" t="s">
        <v>66</v>
      </c>
      <c r="C1" t="s">
        <v>67</v>
      </c>
      <c r="D1" t="s">
        <v>68</v>
      </c>
      <c r="E1" t="s">
        <v>69</v>
      </c>
    </row>
    <row r="2" spans="1:5" x14ac:dyDescent="0.25">
      <c r="A2" t="s">
        <v>62</v>
      </c>
      <c r="B2" s="5">
        <v>46204</v>
      </c>
      <c r="C2" s="2">
        <v>46212</v>
      </c>
      <c r="D2" s="3">
        <v>1573.32</v>
      </c>
      <c r="E2" t="s">
        <v>23</v>
      </c>
    </row>
  </sheetData>
  <dataValidations count="1">
    <dataValidation type="list" allowBlank="1" showInputMessage="1" showErrorMessage="1" sqref="A2" xr:uid="{0F47FC29-5DFE-411B-A260-1A983B6915A4}">
      <formula1>lstCartoes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DF0A3-2F5D-4F56-BA65-9B247DC5D79D}">
  <dimension ref="A1:G3"/>
  <sheetViews>
    <sheetView workbookViewId="0">
      <selection activeCell="F2" sqref="F2"/>
    </sheetView>
  </sheetViews>
  <sheetFormatPr defaultRowHeight="15" x14ac:dyDescent="0.25"/>
  <cols>
    <col min="1" max="1" width="15" customWidth="1"/>
    <col min="3" max="4" width="11.5703125" customWidth="1"/>
    <col min="5" max="5" width="12.140625" bestFit="1" customWidth="1"/>
    <col min="6" max="6" width="10.42578125" customWidth="1"/>
    <col min="7" max="7" width="14.85546875" customWidth="1"/>
  </cols>
  <sheetData>
    <row r="1" spans="1:7" x14ac:dyDescent="0.25">
      <c r="A1" t="s">
        <v>70</v>
      </c>
      <c r="B1" t="s">
        <v>15</v>
      </c>
      <c r="C1" t="s">
        <v>27</v>
      </c>
      <c r="D1" t="s">
        <v>71</v>
      </c>
      <c r="E1" t="s">
        <v>29</v>
      </c>
      <c r="F1" t="s">
        <v>72</v>
      </c>
      <c r="G1" t="s">
        <v>66</v>
      </c>
    </row>
    <row r="2" spans="1:7" x14ac:dyDescent="0.25">
      <c r="A2" s="2">
        <v>46216</v>
      </c>
      <c r="B2" t="s">
        <v>62</v>
      </c>
      <c r="C2" t="s">
        <v>78</v>
      </c>
      <c r="D2" t="s">
        <v>76</v>
      </c>
      <c r="E2" s="3">
        <v>3000</v>
      </c>
      <c r="F2">
        <v>10</v>
      </c>
      <c r="G2" s="5">
        <v>46204</v>
      </c>
    </row>
    <row r="3" spans="1:7" x14ac:dyDescent="0.25">
      <c r="E3" s="3"/>
    </row>
  </sheetData>
  <dataValidations count="2">
    <dataValidation type="list" allowBlank="1" showInputMessage="1" showErrorMessage="1" sqref="B2:B3" xr:uid="{81F4BA1A-5476-41F4-9587-CB93B97940F3}">
      <formula1>lstCartoes</formula1>
    </dataValidation>
    <dataValidation type="list" allowBlank="1" showInputMessage="1" showErrorMessage="1" sqref="D2:D3" xr:uid="{1D6A2C00-ECB4-43E5-A997-CFB1EDAA1C59}">
      <formula1>lstCategoriasCartao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3D-97A7-4FCB-A87A-BE593C175B40}">
  <dimension ref="A1"/>
  <sheetViews>
    <sheetView workbookViewId="0">
      <selection activeCell="H23" sqref="H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12</vt:i4>
      </vt:variant>
    </vt:vector>
  </HeadingPairs>
  <TitlesOfParts>
    <vt:vector size="29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Faturas</vt:lpstr>
      <vt:lpstr>Lancamentos_Cartao</vt:lpstr>
      <vt:lpstr>,</vt:lpstr>
      <vt:lpstr>AnoAnalise</vt:lpstr>
      <vt:lpstr>AnoInicial</vt:lpstr>
      <vt:lpstr>lstCartoes</vt:lpstr>
      <vt:lpstr>lstCategoriasCartao</vt:lpstr>
      <vt:lpstr>lstContasBancarias</vt:lpstr>
      <vt:lpstr>lstStatus</vt:lpstr>
      <vt:lpstr>lstTiposDespesa</vt:lpstr>
      <vt:lpstr>lstTiposReceita</vt:lpstr>
      <vt:lpstr>MesAnalise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2026-07-13T18:40:55Z</dcterms:modified>
</cp:coreProperties>
</file>