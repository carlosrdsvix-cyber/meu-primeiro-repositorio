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carlos.renato\meu-primeiro-repositorio\"/>
    </mc:Choice>
  </mc:AlternateContent>
  <xr:revisionPtr revIDLastSave="0" documentId="13_ncr:1_{4447A24B-DFFC-4E7A-8308-1613EE95C07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ashboard" sheetId="1" r:id="rId1"/>
    <sheet name="Resumo_Mensal" sheetId="3" r:id="rId2"/>
    <sheet name="Receitas" sheetId="4" r:id="rId3"/>
    <sheet name="Despesas" sheetId="5" r:id="rId4"/>
    <sheet name="Cartoes" sheetId="6" r:id="rId5"/>
    <sheet name="Parcelamentos" sheetId="7" r:id="rId6"/>
    <sheet name="Investimentos" sheetId="8" r:id="rId7"/>
    <sheet name="Contas_Bancarias" sheetId="9" r:id="rId8"/>
    <sheet name="Patrimonio" sheetId="10" r:id="rId9"/>
    <sheet name="Metas" sheetId="11" r:id="rId10"/>
    <sheet name="Historico" sheetId="12" r:id="rId11"/>
    <sheet name="Listas" sheetId="13" r:id="rId12"/>
    <sheet name="Configuracoes" sheetId="14" r:id="rId13"/>
    <sheet name="Calculos" sheetId="15" r:id="rId14"/>
  </sheets>
  <definedNames>
    <definedName name="AnoAnalise">Configuracoes!$B$7</definedName>
    <definedName name="AnoInicial">Configuracoes!$B$5</definedName>
    <definedName name="lstContasBancarias">Listas!$G$2:$G$5</definedName>
    <definedName name="lstStatus">Listas!$I$2:$I$5</definedName>
    <definedName name="lstTiposDespesa">Listas!$C$2:$C$8</definedName>
    <definedName name="lstTiposReceita">Listas!$A$2:$A$5</definedName>
    <definedName name="MesAnalise">Configuracoes!$B$6</definedName>
    <definedName name="MoedaSistema">Configuracoes!$B$4</definedName>
    <definedName name="NomeSistema">Configuracoes!$B$2</definedName>
    <definedName name="VersaoSistema">Configuracoes!$B$3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 a="1"/>
  <c r="B6" i="1" s="1"/>
  <c r="B2" i="3"/>
  <c r="A2" i="3"/>
  <c r="C2" i="3" s="1"/>
  <c r="E2" i="3" s="1"/>
  <c r="B7" i="1" s="1" a="1"/>
  <c r="B7" i="1" s="1"/>
  <c r="A3" i="1"/>
  <c r="A2" i="1"/>
  <c r="A1" i="1"/>
  <c r="B5" i="1" l="1" a="1"/>
  <c r="B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<sst xmlns="http://schemas.openxmlformats.org/spreadsheetml/2006/main" count="72" uniqueCount="55">
  <si>
    <t>Tipos_Receita</t>
  </si>
  <si>
    <t>Salario</t>
  </si>
  <si>
    <t>Bonus</t>
  </si>
  <si>
    <t>Investimentos</t>
  </si>
  <si>
    <t>Outros</t>
  </si>
  <si>
    <t>Tipos_Despesa</t>
  </si>
  <si>
    <t>Moradia</t>
  </si>
  <si>
    <t>Alimentacao</t>
  </si>
  <si>
    <t>Transporte</t>
  </si>
  <si>
    <t>Saude</t>
  </si>
  <si>
    <t>Educacao</t>
  </si>
  <si>
    <t>Lazer</t>
  </si>
  <si>
    <t>Formas_Pagamento</t>
  </si>
  <si>
    <t>Dinheiro</t>
  </si>
  <si>
    <t>Pix</t>
  </si>
  <si>
    <t>Cartao</t>
  </si>
  <si>
    <t>Debito</t>
  </si>
  <si>
    <t>Transferencia</t>
  </si>
  <si>
    <t>Contas_Bancarias</t>
  </si>
  <si>
    <t>Nubank</t>
  </si>
  <si>
    <t>Banco_Inter</t>
  </si>
  <si>
    <t>Status</t>
  </si>
  <si>
    <t>Pago</t>
  </si>
  <si>
    <t>Pendente</t>
  </si>
  <si>
    <t>Ativo</t>
  </si>
  <si>
    <t>Concluido</t>
  </si>
  <si>
    <t>Data</t>
  </si>
  <si>
    <t>Descricao</t>
  </si>
  <si>
    <t>Tipo_Receita</t>
  </si>
  <si>
    <t>Valor</t>
  </si>
  <si>
    <t>Conta_Bancaria</t>
  </si>
  <si>
    <t>Observacao</t>
  </si>
  <si>
    <t>Salario Julho</t>
  </si>
  <si>
    <t>Salario CLT</t>
  </si>
  <si>
    <t>Tipo_Despesa</t>
  </si>
  <si>
    <t>teste</t>
  </si>
  <si>
    <t>Teste de sistema</t>
  </si>
  <si>
    <t>Parametro</t>
  </si>
  <si>
    <t>Nome_Sistema</t>
  </si>
  <si>
    <t>Sistema Financeiro Carlos</t>
  </si>
  <si>
    <t>Versao</t>
  </si>
  <si>
    <t>Moeda</t>
  </si>
  <si>
    <t>1.0</t>
  </si>
  <si>
    <t>Real</t>
  </si>
  <si>
    <t>Ano_Inicial</t>
  </si>
  <si>
    <t>Total de Receitas</t>
  </si>
  <si>
    <t>Total de Despesas</t>
  </si>
  <si>
    <t>Saldo Atual</t>
  </si>
  <si>
    <t>Mes</t>
  </si>
  <si>
    <t>Ano</t>
  </si>
  <si>
    <t>Total_Receitas</t>
  </si>
  <si>
    <t>Total_Despesas</t>
  </si>
  <si>
    <t>Saldo</t>
  </si>
  <si>
    <t>MesAnalise</t>
  </si>
  <si>
    <t>AnoAnalise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</si>
</sst>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0F6549-5E43-427D-967B-3F5766F66080}" name="tbResumoMensal" displayName="tbResumoMensal" ref="A1:E2" totalsRowShown="0">
  <autoFilter ref="A1:E2" xr:uid="{8A0F6549-5E43-427D-967B-3F5766F66080}"/>
  <tableColumns count="5">
    <tableColumn id="1" xr3:uid="{3AF8D024-BA06-435E-AA5D-554538ED1BB5}" name="Mes">
      <calculatedColumnFormula>MesAnalise</calculatedColumnFormula>
    </tableColumn>
    <tableColumn id="2" xr3:uid="{352D13CF-CC82-4D16-890B-7CFCBF56C180}" name="Ano">
      <calculatedColumnFormula>AnoAnalise</calculatedColumnFormula>
    </tableColumn>
    <tableColumn id="3" xr3:uid="{F285CC66-5EAA-49D5-B5B4-EB5FE193323D}" name="Total_Receitas" dataCellStyle="Moeda">
      <calculatedColumnFormula>SUMIFS(tbReceitas[Valor],tbReceitas[Data],"&gt;="&amp;DATE(B2,A2,1),tbReceitas[Data],"&lt;"&amp;DATE(B2,A2+1,1))</calculatedColumnFormula>
    </tableColumn>
    <tableColumn id="4" xr3:uid="{053912A3-621A-4F93-A624-907418D8D463}" name="Total_Despesas" dataCellStyle="Moeda"/>
    <tableColumn id="5" xr3:uid="{255444C8-9635-4814-BE21-BFC9913BD2EF}" name="Saldo" dataCellStyle="Moeda">
      <calculatedColumnFormula>C2-D2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300694-91AF-4EEF-A885-E13BA79E50C1}" name="tbReceitas" displayName="tbReceitas" ref="A1:G2" totalsRowShown="0">
  <autoFilter ref="A1:G2" xr:uid="{55300694-91AF-4EEF-A885-E13BA79E50C1}"/>
  <tableColumns count="7">
    <tableColumn id="1" xr3:uid="{813C2834-4B6B-482C-AB37-6B8EA07A07D4}" name="Data"/>
    <tableColumn id="2" xr3:uid="{699720BF-24C2-46BE-A82A-B5C5965F6CFB}" name="Descricao"/>
    <tableColumn id="3" xr3:uid="{B8B413D5-A000-49D6-85F5-1A691E4531A9}" name="Tipo_Receita"/>
    <tableColumn id="4" xr3:uid="{F5150B90-B4BA-410F-A636-FF84688F78C2}" name="Valor" dataCellStyle="Moeda"/>
    <tableColumn id="5" xr3:uid="{27840D25-3EEA-4664-89C1-FDC8C605AE0D}" name="Conta_Bancaria"/>
    <tableColumn id="6" xr3:uid="{9C7B06CE-235C-4065-8819-0BA072F8473F}" name="Observacao"/>
    <tableColumn id="7" xr3:uid="{5E447685-E5DD-4C17-9D8B-4ADA1892F798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24B775-B412-4705-AA40-FE3CDCC0BA58}" name="tbDespesas" displayName="tbDespesas" ref="A1:G3" totalsRowShown="0">
  <autoFilter ref="A1:G3" xr:uid="{E324B775-B412-4705-AA40-FE3CDCC0BA58}"/>
  <tableColumns count="7">
    <tableColumn id="1" xr3:uid="{348CBD6E-BAB2-4453-B3DB-59361AD0A0F2}" name="Data" dataDxfId="0"/>
    <tableColumn id="2" xr3:uid="{A4C6D8F4-18F9-4E8D-A471-DAA5D2F84E4D}" name="Descricao"/>
    <tableColumn id="3" xr3:uid="{0EF10707-0FC4-4B03-ADA9-20680CA6C867}" name="Tipo_Despesa"/>
    <tableColumn id="4" xr3:uid="{6FE19F1B-8AC6-480C-BBD0-6B739B3F311C}" name="Valor" dataCellStyle="Moeda"/>
    <tableColumn id="5" xr3:uid="{4C7BEAE2-AA61-4167-96A8-B13319F12C81}" name="Conta_Bancaria"/>
    <tableColumn id="6" xr3:uid="{20E14D20-80B3-4C18-B94B-5DA351060A83}" name="Observacao"/>
    <tableColumn id="7" xr3:uid="{61E2C68E-F125-44C4-8AA8-2FDA95423A81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8C3B75-1E22-47EE-AB6E-47AFD03B2FC6}" name="tbConfiguracoes" displayName="tbConfiguracoes" ref="A1:B7" totalsRowShown="0">
  <autoFilter ref="A1:B7" xr:uid="{678C3B75-1E22-47EE-AB6E-47AFD03B2FC6}"/>
  <tableColumns count="2">
    <tableColumn id="1" xr3:uid="{D2936EAB-86F0-4B66-ACE9-63DAD986A44F}" name="Parametro"/>
    <tableColumn id="2" xr3:uid="{F4458E02-E9B4-48E4-A708-C914B6098752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G14" sqref="G14"/>
    </sheetView>
  </sheetViews>
  <sheetFormatPr defaultRowHeight="15" x14ac:dyDescent="0.25"/>
  <cols>
    <col min="1" max="1" width="25.7109375" customWidth="1"/>
    <col min="2" max="2" width="12.140625" bestFit="1" customWidth="1"/>
  </cols>
  <sheetData>
    <row r="1" spans="1:2" x14ac:dyDescent="0.25">
      <c r="A1" s="1" t="str">
        <f>NomeSistema</f>
        <v>Sistema Financeiro Carlos</v>
      </c>
    </row>
    <row r="2" spans="1:2" x14ac:dyDescent="0.25">
      <c r="A2" s="1" t="str">
        <f>"Versão "&amp;VersaoSistema</f>
        <v>Versão 1.0</v>
      </c>
    </row>
    <row r="3" spans="1:2" x14ac:dyDescent="0.25">
      <c r="A3" s="1" t="str">
        <f>"Ano de referência: "&amp;AnoInicial</f>
        <v>Ano de referência: 2026</v>
      </c>
    </row>
    <row r="5" spans="1:2" x14ac:dyDescent="0.25">
      <c r="A5" t="s">
        <v>45</v>
      </c>
      <c r="B5" s="3" cm="1">
        <f t="array" ref="B5">tbResumoMensal[Total_Receitas]</f>
        <v>2700</v>
      </c>
    </row>
    <row r="6" spans="1:2" x14ac:dyDescent="0.25">
      <c r="A6" t="s">
        <v>46</v>
      </c>
      <c r="B6" s="3" cm="1">
        <f t="array" ref="B6">tbResumoMensal[Total_Despesas]</f>
        <v>50</v>
      </c>
    </row>
    <row r="7" spans="1:2" x14ac:dyDescent="0.25">
      <c r="A7" t="s">
        <v>47</v>
      </c>
      <c r="B7" s="3" cm="1">
        <f t="array" ref="B7">tbResumoMensal[Saldo]</f>
        <v>2650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9016-E170-4996-8755-6189BC2FB397}">
  <dimension ref="A1:E2"/>
  <sheetViews>
    <sheetView workbookViewId="0">
      <selection activeCell="B2" sqref="B2"/>
    </sheetView>
  </sheetViews>
  <sheetFormatPr defaultRowHeight="15" x14ac:dyDescent="0.25"/>
  <cols>
    <col min="1" max="1" width="7" customWidth="1"/>
    <col min="2" max="2" width="6.7109375" customWidth="1"/>
    <col min="3" max="3" width="16" customWidth="1"/>
    <col min="4" max="4" width="16.85546875" customWidth="1"/>
    <col min="5" max="5" width="12.140625" bestFit="1" customWidth="1"/>
  </cols>
  <sheetData>
    <row r="1" spans="1: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 x14ac:dyDescent="0.25">
      <c r="A2">
        <f>MesAnalise</f>
        <v>7</v>
      </c>
      <c r="B2">
        <f>AnoAnalise</f>
        <v>2026</v>
      </c>
      <c r="C2" s="3">
        <f>SUMIFS(tbReceitas[Valor],tbReceitas[Data],"&gt;="&amp;DATE(B2,A2,1),tbReceitas[Data],"&lt;"&amp;DATE(B2,A2+1,1))</f>
        <v>2700</v>
      </c>
      <c r="D2" s="3">
        <v>50</v>
      </c>
      <c r="E2" s="3">
        <f>C2-D2</f>
        <v>2650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02DD-C545-4B1D-ABFA-496F14762B9E}">
  <dimension ref="A1:G2"/>
  <sheetViews>
    <sheetView workbookViewId="0">
      <selection activeCell="E2" sqref="E2"/>
    </sheetView>
  </sheetViews>
  <sheetFormatPr defaultRowHeight="15" x14ac:dyDescent="0.25"/>
  <cols>
    <col min="1" max="1" width="10.7109375" bestFit="1" customWidth="1"/>
    <col min="2" max="2" width="12.140625" bestFit="1" customWidth="1"/>
    <col min="3" max="3" width="14.7109375" bestFit="1" customWidth="1"/>
    <col min="4" max="4" width="12.140625" style="3" bestFit="1" customWidth="1"/>
    <col min="5" max="5" width="17" bestFit="1" customWidth="1"/>
    <col min="6" max="6" width="13.5703125" bestFit="1" customWidth="1"/>
    <col min="7" max="7" width="9.85546875" bestFit="1" customWidth="1"/>
  </cols>
  <sheetData>
    <row r="1" spans="1:7" x14ac:dyDescent="0.25">
      <c r="A1" t="s">
        <v>26</v>
      </c>
      <c r="B1" t="s">
        <v>27</v>
      </c>
      <c r="C1" t="s">
        <v>28</v>
      </c>
      <c r="D1" s="3" t="s">
        <v>29</v>
      </c>
      <c r="E1" t="s">
        <v>30</v>
      </c>
      <c r="F1" t="s">
        <v>31</v>
      </c>
      <c r="G1" t="s">
        <v>21</v>
      </c>
    </row>
    <row r="2" spans="1:7" x14ac:dyDescent="0.25">
      <c r="A2" s="2">
        <v>46208</v>
      </c>
      <c r="B2" t="s">
        <v>32</v>
      </c>
      <c r="C2" t="s">
        <v>1</v>
      </c>
      <c r="D2" s="3">
        <v>2700</v>
      </c>
      <c r="E2" t="s">
        <v>19</v>
      </c>
      <c r="F2" t="s">
        <v>33</v>
      </c>
      <c r="G2" t="s">
        <v>25</v>
      </c>
    </row>
  </sheetData>
  <dataValidations count="3">
    <dataValidation type="list" allowBlank="1" showInputMessage="1" showErrorMessage="1" sqref="C2" xr:uid="{5030F56A-771B-4A5F-80B1-5FCE33DCCABF}">
      <formula1>lstTiposReceita</formula1>
    </dataValidation>
    <dataValidation type="list" allowBlank="1" showInputMessage="1" showErrorMessage="1" sqref="E2" xr:uid="{5305F043-02F9-4FFE-AE21-7A516EB9ACAE}">
      <formula1>lstContasBancarias</formula1>
    </dataValidation>
    <dataValidation type="list" allowBlank="1" showInputMessage="1" showErrorMessage="1" sqref="G2" xr:uid="{962BDD76-CAEE-4C6C-9D99-EC80B8F368C1}">
      <formula1>lstStatus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59A9-CFA8-4DFA-9FD1-F4F4F098960D}">
  <dimension ref="A1:G3"/>
  <sheetViews>
    <sheetView workbookViewId="0">
      <selection activeCell="F13" sqref="F13"/>
    </sheetView>
  </sheetViews>
  <sheetFormatPr defaultRowHeight="15" x14ac:dyDescent="0.25"/>
  <cols>
    <col min="1" max="1" width="10.7109375" bestFit="1" customWidth="1"/>
    <col min="2" max="2" width="11.7109375" bestFit="1" customWidth="1"/>
    <col min="3" max="3" width="15.7109375" bestFit="1" customWidth="1"/>
    <col min="4" max="4" width="9.5703125" bestFit="1" customWidth="1"/>
    <col min="5" max="5" width="17" bestFit="1" customWidth="1"/>
    <col min="6" max="6" width="16" bestFit="1" customWidth="1"/>
    <col min="7" max="7" width="8.7109375" bestFit="1" customWidth="1"/>
  </cols>
  <sheetData>
    <row r="1" spans="1:7" x14ac:dyDescent="0.25">
      <c r="A1" t="s">
        <v>26</v>
      </c>
      <c r="B1" t="s">
        <v>27</v>
      </c>
      <c r="C1" t="s">
        <v>34</v>
      </c>
      <c r="D1" t="s">
        <v>29</v>
      </c>
      <c r="E1" t="s">
        <v>30</v>
      </c>
      <c r="F1" t="s">
        <v>31</v>
      </c>
      <c r="G1" t="s">
        <v>21</v>
      </c>
    </row>
    <row r="2" spans="1:7" x14ac:dyDescent="0.25">
      <c r="A2" s="2">
        <v>46216</v>
      </c>
      <c r="B2" t="s">
        <v>35</v>
      </c>
      <c r="C2" t="s">
        <v>7</v>
      </c>
      <c r="D2" s="3">
        <v>50</v>
      </c>
      <c r="E2" t="s">
        <v>20</v>
      </c>
      <c r="F2" t="s">
        <v>36</v>
      </c>
      <c r="G2" t="s">
        <v>22</v>
      </c>
    </row>
    <row r="3" spans="1:7" x14ac:dyDescent="0.25">
      <c r="A3" s="2"/>
      <c r="D3" s="3"/>
    </row>
  </sheetData>
  <dataValidations count="3">
    <dataValidation type="list" allowBlank="1" showInputMessage="1" showErrorMessage="1" sqref="C2:C3" xr:uid="{966CA5DC-7167-4F11-A88D-7BD00A6D67A6}">
      <formula1>lstTiposDespesa</formula1>
    </dataValidation>
    <dataValidation type="list" allowBlank="1" showInputMessage="1" showErrorMessage="1" sqref="E2:E3" xr:uid="{42027A5D-3623-4F73-A193-79875C7B49CD}">
      <formula1>lstContasBancarias</formula1>
    </dataValidation>
    <dataValidation type="list" allowBlank="1" showInputMessage="1" showErrorMessage="1" sqref="G2:G3" xr:uid="{2C82B0D7-FC1E-4875-B666-56F46C3F3BE2}">
      <formula1>lstStatus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4029-1690-41A0-83DB-813CACF2A824}">
  <dimension ref="A1"/>
  <sheetViews>
    <sheetView workbookViewId="0">
      <selection activeCell="K32" sqref="K3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AEDA-7868-4003-99EF-6D6DDD98D4D1}">
  <dimension ref="A1"/>
  <sheetViews>
    <sheetView workbookViewId="0">
      <selection activeCell="K26" sqref="K2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4DD6-1DE2-4B31-9DA2-D36FD96B3EE9}">
  <dimension ref="A1"/>
  <sheetViews>
    <sheetView workbookViewId="0">
      <selection activeCell="G12" sqref="G1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2742-5C03-4631-B7AD-2B736A5A5239}">
  <dimension ref="A1"/>
  <sheetViews>
    <sheetView workbookViewId="0">
      <selection activeCell="K23" sqref="K2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A19F-C13A-4E89-BB61-B22C4601171D}">
  <dimension ref="A1"/>
  <sheetViews>
    <sheetView workbookViewId="0">
      <selection activeCell="J21" sqref="J2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CDE1-C651-4C54-846A-6054721D80A4}">
  <dimension ref="A1"/>
  <sheetViews>
    <sheetView workbookViewId="0">
      <selection activeCell="M30" sqref="M3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272F-9888-4754-9B1E-EFD816629FC8}">
  <dimension ref="A1"/>
  <sheetViews>
    <sheetView workbookViewId="0">
      <selection activeCell="K29" sqref="K2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DEA5B-E592-467E-96CE-CA4251B085F7}">
  <dimension ref="A1:I8"/>
  <sheetViews>
    <sheetView workbookViewId="0">
      <selection activeCell="C2" sqref="C2:C8"/>
    </sheetView>
  </sheetViews>
  <sheetFormatPr defaultRowHeight="15" x14ac:dyDescent="0.25"/>
  <cols>
    <col min="1" max="9" width="18.7109375" customWidth="1"/>
  </cols>
  <sheetData>
    <row r="1" spans="1:9" x14ac:dyDescent="0.25">
      <c r="A1" s="1" t="s">
        <v>0</v>
      </c>
      <c r="C1" s="1" t="s">
        <v>5</v>
      </c>
      <c r="E1" s="1" t="s">
        <v>12</v>
      </c>
      <c r="G1" s="1" t="s">
        <v>18</v>
      </c>
      <c r="I1" s="1" t="s">
        <v>21</v>
      </c>
    </row>
    <row r="2" spans="1:9" x14ac:dyDescent="0.25">
      <c r="A2" t="s">
        <v>1</v>
      </c>
      <c r="C2" t="s">
        <v>6</v>
      </c>
      <c r="E2" t="s">
        <v>13</v>
      </c>
      <c r="G2" t="s">
        <v>19</v>
      </c>
      <c r="I2" t="s">
        <v>22</v>
      </c>
    </row>
    <row r="3" spans="1:9" x14ac:dyDescent="0.25">
      <c r="A3" t="s">
        <v>2</v>
      </c>
      <c r="C3" t="s">
        <v>7</v>
      </c>
      <c r="E3" t="s">
        <v>14</v>
      </c>
      <c r="G3" t="s">
        <v>20</v>
      </c>
      <c r="I3" t="s">
        <v>23</v>
      </c>
    </row>
    <row r="4" spans="1:9" x14ac:dyDescent="0.25">
      <c r="A4" t="s">
        <v>3</v>
      </c>
      <c r="C4" t="s">
        <v>8</v>
      </c>
      <c r="E4" t="s">
        <v>15</v>
      </c>
      <c r="G4" t="s">
        <v>13</v>
      </c>
      <c r="I4" t="s">
        <v>24</v>
      </c>
    </row>
    <row r="5" spans="1:9" x14ac:dyDescent="0.25">
      <c r="A5" t="s">
        <v>4</v>
      </c>
      <c r="C5" t="s">
        <v>9</v>
      </c>
      <c r="E5" t="s">
        <v>16</v>
      </c>
      <c r="G5" t="s">
        <v>4</v>
      </c>
      <c r="I5" t="s">
        <v>25</v>
      </c>
    </row>
    <row r="6" spans="1:9" x14ac:dyDescent="0.25">
      <c r="C6" t="s">
        <v>10</v>
      </c>
      <c r="E6" t="s">
        <v>17</v>
      </c>
    </row>
    <row r="7" spans="1:9" x14ac:dyDescent="0.25">
      <c r="C7" t="s">
        <v>11</v>
      </c>
    </row>
    <row r="8" spans="1:9" x14ac:dyDescent="0.25">
      <c r="C8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B2A8-B031-40A7-9D90-72F49B830BAB}">
  <dimension ref="A1:B7"/>
  <sheetViews>
    <sheetView workbookViewId="0">
      <selection activeCell="B6" sqref="B6"/>
    </sheetView>
  </sheetViews>
  <sheetFormatPr defaultRowHeight="15" x14ac:dyDescent="0.25"/>
  <cols>
    <col min="1" max="1" width="14.5703125" bestFit="1" customWidth="1"/>
    <col min="2" max="2" width="24" bestFit="1" customWidth="1"/>
  </cols>
  <sheetData>
    <row r="1" spans="1:2" x14ac:dyDescent="0.25">
      <c r="A1" t="s">
        <v>37</v>
      </c>
      <c r="B1" t="s">
        <v>29</v>
      </c>
    </row>
    <row r="2" spans="1:2" x14ac:dyDescent="0.25">
      <c r="A2" t="s">
        <v>38</v>
      </c>
      <c r="B2" t="s">
        <v>39</v>
      </c>
    </row>
    <row r="3" spans="1:2" x14ac:dyDescent="0.25">
      <c r="A3" t="s">
        <v>40</v>
      </c>
      <c r="B3" t="s">
        <v>42</v>
      </c>
    </row>
    <row r="4" spans="1:2" x14ac:dyDescent="0.25">
      <c r="A4" t="s">
        <v>41</v>
      </c>
      <c r="B4" t="s">
        <v>43</v>
      </c>
    </row>
    <row r="5" spans="1:2" x14ac:dyDescent="0.25">
      <c r="A5" t="s">
        <v>44</v>
      </c>
      <c r="B5" s="4">
        <v>2026</v>
      </c>
    </row>
    <row r="6" spans="1:2" x14ac:dyDescent="0.25">
      <c r="A6" t="s">
        <v>53</v>
      </c>
      <c r="B6" s="4">
        <v>7</v>
      </c>
    </row>
    <row r="7" spans="1:2" x14ac:dyDescent="0.25">
      <c r="A7" t="s">
        <v>54</v>
      </c>
      <c r="B7" s="4">
        <v>2026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72ED-E857-46F3-96F1-3B41006EF91A}">
  <dimension ref="A1"/>
  <sheetViews>
    <sheetView workbookViewId="0">
      <selection activeCell="M27" sqref="M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10</vt:i4>
      </vt:variant>
    </vt:vector>
  </HeadingPairs>
  <TitlesOfParts>
    <vt:vector size="24" baseType="lpstr">
      <vt:lpstr>Dashboard</vt:lpstr>
      <vt:lpstr>Resumo_Mensal</vt:lpstr>
      <vt:lpstr>Receitas</vt:lpstr>
      <vt:lpstr>Despesas</vt:lpstr>
      <vt:lpstr>Cartoes</vt:lpstr>
      <vt:lpstr>Parcelamentos</vt:lpstr>
      <vt:lpstr>Investimentos</vt:lpstr>
      <vt:lpstr>Contas_Bancarias</vt:lpstr>
      <vt:lpstr>Patrimonio</vt:lpstr>
      <vt:lpstr>Metas</vt:lpstr>
      <vt:lpstr>Historico</vt:lpstr>
      <vt:lpstr>Listas</vt:lpstr>
      <vt:lpstr>Configuracoes</vt:lpstr>
      <vt:lpstr>Calculos</vt:lpstr>
      <vt:lpstr>AnoAnalise</vt:lpstr>
      <vt:lpstr>AnoInicial</vt:lpstr>
      <vt:lpstr>lstContasBancarias</vt:lpstr>
      <vt:lpstr>lstStatus</vt:lpstr>
      <vt:lpstr>lstTiposDespesa</vt:lpstr>
      <vt:lpstr>lstTiposReceita</vt:lpstr>
      <vt:lpstr>MesAnalise</vt:lpstr>
      <vt:lpstr>MoedaSistema</vt:lpstr>
      <vt:lpstr>NomeSistema</vt:lpstr>
      <vt:lpstr>VersaoSistema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Renato Dias da Silva</dc:creator>
  <cp:lastModifiedBy>Carlos Renato Dias da Silva</cp:lastModifiedBy>
  <dcterms:created xsi:type="dcterms:W3CDTF">2015-06-05T18:19:34Z</dcterms:created>
  <dcterms:modified xsi:type="dcterms:W3CDTF">2026-07-13T17:32:58Z</dcterms:modified>
</cp:coreProperties>
</file>